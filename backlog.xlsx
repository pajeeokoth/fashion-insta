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ctre\Documents\OpenClassrooms_AI\fashion-insta\"/>
    </mc:Choice>
  </mc:AlternateContent>
  <xr:revisionPtr revIDLastSave="0" documentId="13_ncr:1_{7B0163D7-1D01-4E4D-A73D-D5454FC7B696}" xr6:coauthVersionLast="47" xr6:coauthVersionMax="47" xr10:uidLastSave="{00000000-0000-0000-0000-000000000000}"/>
  <bookViews>
    <workbookView xWindow="2835" yWindow="330" windowWidth="21600" windowHeight="14205" activeTab="4" xr2:uid="{9B746B4F-FB1E-444B-8156-FB1C45738087}"/>
  </bookViews>
  <sheets>
    <sheet name="backlog" sheetId="4" r:id="rId1"/>
    <sheet name="sheet1" sheetId="1" r:id="rId2"/>
    <sheet name="Sheet2" sheetId="5" r:id="rId3"/>
    <sheet name="Sheet3" sheetId="6" r:id="rId4"/>
    <sheet name="Sheet4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E5" i="5"/>
  <c r="E4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<sst xmlns="http://schemas.openxmlformats.org/spreadsheetml/2006/main" count="120" uniqueCount="101">
  <si>
    <t>1. User Authentication &amp; Profile Management</t>
  </si>
  <si>
    <t>User Story:</t>
  </si>
  <si>
    <t>As a user, I want to securely register and log in using email, phone, or social accounts so that I can access my personalized shopping experience.</t>
  </si>
  <si>
    <t>Acceptance Criteria:</t>
  </si>
  <si>
    <t>Registration and login via email, phone, or social accounts.</t>
  </si>
  <si>
    <t>Password reset functionality.</t>
  </si>
  <si>
    <t>Profile editing (name, address, payment info).</t>
  </si>
  <si>
    <r>
      <t>Priority:</t>
    </r>
    <r>
      <rPr>
        <sz val="11"/>
        <color theme="1"/>
        <rFont val="Segoe UI"/>
        <family val="2"/>
      </rPr>
      <t xml:space="preserve"> High</t>
    </r>
  </si>
  <si>
    <r>
      <t>Estimated Effort:</t>
    </r>
    <r>
      <rPr>
        <sz val="11"/>
        <color theme="1"/>
        <rFont val="Segoe UI"/>
        <family val="2"/>
      </rPr>
      <t xml:space="preserve"> 8 Story Points (Complexity: Medium – involves security and integration with social APIs)</t>
    </r>
  </si>
  <si>
    <t>2. Product Catalog &amp; Search</t>
  </si>
  <si>
    <t>As a user, I want to browse products by category and search for specific items so that I can quickly find what I need.</t>
  </si>
  <si>
    <t>Category-based product listing.</t>
  </si>
  <si>
    <t>Search bar with relevant results.</t>
  </si>
  <si>
    <t>Product details page with images, price, and description.</t>
  </si>
  <si>
    <r>
      <t>Estimated Effort:</t>
    </r>
    <r>
      <rPr>
        <sz val="11"/>
        <color theme="1"/>
        <rFont val="Segoe UI"/>
        <family val="2"/>
      </rPr>
      <t xml:space="preserve"> 13 Story Points (Complexity: High – requires database queries and UI optimization)</t>
    </r>
  </si>
  <si>
    <t>3. Shopping Cart &amp; Checkout</t>
  </si>
  <si>
    <t>As a user, I want to add products to my cart and complete purchases using multiple payment methods so that I can shop conveniently.</t>
  </si>
  <si>
    <t>Add/remove items from cart.</t>
  </si>
  <si>
    <t>Dynamic cart updates with total price.</t>
  </si>
  <si>
    <t>Checkout supports credit/debit cards, wallets, and COD.</t>
  </si>
  <si>
    <r>
      <t>Estimated Effort:</t>
    </r>
    <r>
      <rPr>
        <sz val="11"/>
        <color theme="1"/>
        <rFont val="Segoe UI"/>
        <family val="2"/>
      </rPr>
      <t xml:space="preserve"> 13 Story Points (Complexity: High – involves payment gateway integration)</t>
    </r>
  </si>
  <si>
    <t>4. Order Tracking</t>
  </si>
  <si>
    <t>As a user, I want to track my order status in real-time so that I know when my purchase will arrive.</t>
  </si>
  <si>
    <t>View order history.</t>
  </si>
  <si>
    <t>Real-time status updates (Processing, Shipped, Delivered).</t>
  </si>
  <si>
    <t>Notifications for status changes.</t>
  </si>
  <si>
    <r>
      <t>Priority:</t>
    </r>
    <r>
      <rPr>
        <sz val="11"/>
        <color theme="1"/>
        <rFont val="Segoe UI"/>
        <family val="2"/>
      </rPr>
      <t xml:space="preserve"> Medium</t>
    </r>
  </si>
  <si>
    <r>
      <t>Estimated Effort:</t>
    </r>
    <r>
      <rPr>
        <sz val="11"/>
        <color theme="1"/>
        <rFont val="Segoe UI"/>
        <family val="2"/>
      </rPr>
      <t xml:space="preserve"> 8 Story Points (Complexity: Medium – requires backend integration and notifications)</t>
    </r>
  </si>
  <si>
    <t>5. Push Notifications &amp; Promotions</t>
  </si>
  <si>
    <t>As a user, I want to receive notifications about offers and order updates so that I stay informed and engaged.</t>
  </si>
  <si>
    <t>Notifications for discounts and promotions.</t>
  </si>
  <si>
    <t>Notifications for order confirmation and delivery updates.</t>
  </si>
  <si>
    <t>Option to enable/disable notifications in settings.</t>
  </si>
  <si>
    <r>
      <t>Estimated Effort:</t>
    </r>
    <r>
      <rPr>
        <sz val="11"/>
        <color theme="1"/>
        <rFont val="Segoe UI"/>
        <family val="2"/>
      </rPr>
      <t xml:space="preserve"> 5 Story Points (Complexity: Low – mostly UI and API integration)</t>
    </r>
  </si>
  <si>
    <r>
      <t xml:space="preserve">✅ These are structured for </t>
    </r>
    <r>
      <rPr>
        <b/>
        <sz val="11"/>
        <color theme="1"/>
        <rFont val="Segoe UI"/>
        <family val="2"/>
      </rPr>
      <t>Agile backlog grooming</t>
    </r>
    <r>
      <rPr>
        <sz val="11"/>
        <color theme="1"/>
        <rFont val="Segoe UI"/>
        <family val="2"/>
      </rPr>
      <t>.</t>
    </r>
  </si>
  <si>
    <t>Title...</t>
  </si>
  <si>
    <t>As a...</t>
  </si>
  <si>
    <t>I want to...</t>
  </si>
  <si>
    <t>in order to...</t>
  </si>
  <si>
    <t>Weight...</t>
  </si>
  <si>
    <t>Required data...</t>
  </si>
  <si>
    <t>User Authentication &amp; Profile Management</t>
  </si>
  <si>
    <t>Application user</t>
  </si>
  <si>
    <t>access my personalized shopping experience.</t>
  </si>
  <si>
    <t>securely register and log in using email, phone, or social accounts.</t>
  </si>
  <si>
    <t>Users email
User's phone number, or
User's username.</t>
  </si>
  <si>
    <t>Photo Upload &amp; Wardrobe Capture</t>
  </si>
  <si>
    <t>upload photos of my clothing and outfits</t>
  </si>
  <si>
    <t>have the app build a personal wardrobe catalog</t>
  </si>
  <si>
    <t>Outfit Recommendation Engine</t>
  </si>
  <si>
    <t>the app to suggest outfit combinations from my wardrobe for a given occasion and weather</t>
  </si>
  <si>
    <t>choose what to buy quickly</t>
  </si>
  <si>
    <t>Virtual Try-On / Outfit Preview</t>
  </si>
  <si>
    <t>virtually preview outfits on my uploaded photo or avatar</t>
  </si>
  <si>
    <t>see how combinations look before buying them.</t>
  </si>
  <si>
    <t>Personalization &amp; Learning</t>
  </si>
  <si>
    <t>User's photos</t>
  </si>
  <si>
    <t>have the app learn my style preferences over time</t>
  </si>
  <si>
    <t>User's photos,
Catalog photos
Model training &amp; testing data</t>
  </si>
  <si>
    <t>Model training &amp; testing data</t>
  </si>
  <si>
    <t>for recommendations to improve with my feedback</t>
  </si>
  <si>
    <t>Shopping Cart &amp; Checkout</t>
  </si>
  <si>
    <t>add products to my cart and complete purchases using multiple payment methods</t>
  </si>
  <si>
    <t>shop conveniently</t>
  </si>
  <si>
    <t>Catalog Photos,
Shopping cart,
User's payment information,
User's shipping information</t>
  </si>
  <si>
    <t>Order Tracking</t>
  </si>
  <si>
    <t>track my order status in real-time</t>
  </si>
  <si>
    <t>know when my purchase will arrive</t>
  </si>
  <si>
    <t>tracking information</t>
  </si>
  <si>
    <t>Push Notifications &amp; Promotions</t>
  </si>
  <si>
    <t xml:space="preserve"> receive notifications about offers and order updates</t>
  </si>
  <si>
    <t>stay informed and engaged</t>
  </si>
  <si>
    <t>Item</t>
  </si>
  <si>
    <t>Quarter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</si>
  <si>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</si>
  <si>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</si>
  <si>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</si>
  <si>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</si>
  <si>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</si>
  <si>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</si>
  <si>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</si>
  <si>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</si>
  <si>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</si>
  <si>
    <t>2028-Q2</t>
  </si>
  <si>
    <t>2028-Q3</t>
  </si>
  <si>
    <t>2028-Q4</t>
  </si>
  <si>
    <t>Projected Sales ($MM)</t>
  </si>
  <si>
    <t>Projected Net Income ($MM)</t>
  </si>
  <si>
    <t>Planning &amp; Design</t>
  </si>
  <si>
    <t>Backend development</t>
  </si>
  <si>
    <t>Frontend Development</t>
  </si>
  <si>
    <t>Core Features</t>
  </si>
  <si>
    <t>Testing &amp; QA/QC</t>
  </si>
  <si>
    <t>Deployment &amp; Launch</t>
  </si>
  <si>
    <t>Week 1</t>
  </si>
  <si>
    <t>Week 2</t>
  </si>
  <si>
    <t>Week 3</t>
  </si>
  <si>
    <t>Week 4</t>
  </si>
  <si>
    <t>Week 5</t>
  </si>
  <si>
    <t>Week 6</t>
  </si>
  <si>
    <t>Fashion-Insta Shopping App Development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</si>
</sst>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3.5"/>
      <color theme="1"/>
      <name val="Segoe UI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0"/>
      <color rgb="FFFFFFFF"/>
      <name val="Arial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4" borderId="1" xfId="0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3/09/relationships/Python" Target="pytho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Quarterly</a:t>
            </a:r>
            <a:r>
              <a:rPr lang="en-US" baseline="0"/>
              <a:t> </a:t>
            </a:r>
            <a:r>
              <a:rPr lang="en-US"/>
              <a:t>Sales</a:t>
            </a:r>
            <a:r>
              <a:rPr lang="en-US" baseline="0"/>
              <a:t> and Profit ($MM)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Projected Sales ($MM)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Sheet2!$A$2:$A$13</c:f>
              <c:strCache>
                <c:ptCount val="12"/>
                <c:pt idx="0">
                  <c:v>2026-Q1</c:v>
                </c:pt>
                <c:pt idx="1">
                  <c:v>2026-Q2</c:v>
                </c:pt>
                <c:pt idx="2">
                  <c:v>2026-Q3</c:v>
                </c:pt>
                <c:pt idx="3">
                  <c:v>2026-Q4</c:v>
                </c:pt>
                <c:pt idx="4">
                  <c:v>2027-Q1</c:v>
                </c:pt>
                <c:pt idx="5">
                  <c:v>2027-Q2</c:v>
                </c:pt>
                <c:pt idx="6">
                  <c:v>2027-Q3</c:v>
                </c:pt>
                <c:pt idx="7">
                  <c:v>2027-Q4</c:v>
                </c:pt>
                <c:pt idx="8">
                  <c:v>2028-Q1</c:v>
                </c:pt>
                <c:pt idx="9">
                  <c:v>2028-Q2</c:v>
                </c:pt>
                <c:pt idx="10">
                  <c:v>2028-Q3</c:v>
                </c:pt>
                <c:pt idx="11">
                  <c:v>2028-Q4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2"/>
                <c:pt idx="0">
                  <c:v>99</c:v>
                </c:pt>
                <c:pt idx="1">
                  <c:v>124</c:v>
                </c:pt>
                <c:pt idx="2">
                  <c:v>129</c:v>
                </c:pt>
                <c:pt idx="3">
                  <c:v>130</c:v>
                </c:pt>
                <c:pt idx="4">
                  <c:v>105</c:v>
                </c:pt>
                <c:pt idx="5">
                  <c:v>134</c:v>
                </c:pt>
                <c:pt idx="6">
                  <c:v>142</c:v>
                </c:pt>
                <c:pt idx="7">
                  <c:v>153</c:v>
                </c:pt>
                <c:pt idx="8">
                  <c:v>126</c:v>
                </c:pt>
                <c:pt idx="9">
                  <c:v>144</c:v>
                </c:pt>
                <c:pt idx="10">
                  <c:v>153</c:v>
                </c:pt>
                <c:pt idx="11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C4E-A996-A614E5D1C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982720"/>
        <c:axId val="504983440"/>
      </c:bar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Projected Net Income ($MM)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Sheet2!$A$2:$A$13</c:f>
              <c:strCache>
                <c:ptCount val="12"/>
                <c:pt idx="0">
                  <c:v>2026-Q1</c:v>
                </c:pt>
                <c:pt idx="1">
                  <c:v>2026-Q2</c:v>
                </c:pt>
                <c:pt idx="2">
                  <c:v>2026-Q3</c:v>
                </c:pt>
                <c:pt idx="3">
                  <c:v>2026-Q4</c:v>
                </c:pt>
                <c:pt idx="4">
                  <c:v>2027-Q1</c:v>
                </c:pt>
                <c:pt idx="5">
                  <c:v>2027-Q2</c:v>
                </c:pt>
                <c:pt idx="6">
                  <c:v>2027-Q3</c:v>
                </c:pt>
                <c:pt idx="7">
                  <c:v>2027-Q4</c:v>
                </c:pt>
                <c:pt idx="8">
                  <c:v>2028-Q1</c:v>
                </c:pt>
                <c:pt idx="9">
                  <c:v>2028-Q2</c:v>
                </c:pt>
                <c:pt idx="10">
                  <c:v>2028-Q3</c:v>
                </c:pt>
                <c:pt idx="11">
                  <c:v>2028-Q4</c:v>
                </c:pt>
              </c:strCache>
            </c:strRef>
          </c:cat>
          <c:val>
            <c:numRef>
              <c:f>Sheet2!$C$2:$C$13</c:f>
              <c:numCache>
                <c:formatCode>General</c:formatCode>
                <c:ptCount val="12"/>
                <c:pt idx="0">
                  <c:v>51</c:v>
                </c:pt>
                <c:pt idx="1">
                  <c:v>71</c:v>
                </c:pt>
                <c:pt idx="2">
                  <c:v>73</c:v>
                </c:pt>
                <c:pt idx="3">
                  <c:v>86</c:v>
                </c:pt>
                <c:pt idx="4">
                  <c:v>70</c:v>
                </c:pt>
                <c:pt idx="5">
                  <c:v>89</c:v>
                </c:pt>
                <c:pt idx="6">
                  <c:v>92</c:v>
                </c:pt>
                <c:pt idx="7">
                  <c:v>93</c:v>
                </c:pt>
                <c:pt idx="8">
                  <c:v>80</c:v>
                </c:pt>
                <c:pt idx="9">
                  <c:v>95</c:v>
                </c:pt>
                <c:pt idx="10">
                  <c:v>100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19-4C4E-A996-A614E5D1C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982720"/>
        <c:axId val="504983440"/>
      </c:lineChart>
      <c:catAx>
        <c:axId val="5049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83440"/>
        <c:crosses val="autoZero"/>
        <c:auto val="1"/>
        <c:lblAlgn val="ctr"/>
        <c:lblOffset val="100"/>
        <c:noMultiLvlLbl val="0"/>
      </c:catAx>
      <c:valAx>
        <c:axId val="504983440"/>
        <c:scaling>
          <c:orientation val="minMax"/>
          <c:max val="18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82720"/>
        <c:crosses val="autoZero"/>
        <c:crossBetween val="between"/>
        <c:majorUnit val="2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3</xdr:row>
      <xdr:rowOff>142875</xdr:rowOff>
    </xdr:from>
    <xdr:to>
      <xdr:col>17</xdr:col>
      <xdr:colOff>561974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F8761-C717-6C69-3A4F-6CCC2329D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0</xdr:colOff>
      <xdr:row>51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073C8-436E-E3D7-EB96-AABDD837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975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104775</xdr:rowOff>
    </xdr:from>
    <xdr:to>
      <xdr:col>4</xdr:col>
      <xdr:colOff>352425</xdr:colOff>
      <xdr:row>4</xdr:row>
      <xdr:rowOff>323850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30F73FD-736F-D033-B062-DFEE63181F3B}"/>
            </a:ext>
          </a:extLst>
        </xdr:cNvPr>
        <xdr:cNvSpPr/>
      </xdr:nvSpPr>
      <xdr:spPr>
        <a:xfrm>
          <a:off x="2181225" y="295275"/>
          <a:ext cx="962025" cy="219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</xdr:colOff>
      <xdr:row>5</xdr:row>
      <xdr:rowOff>142875</xdr:rowOff>
    </xdr:from>
    <xdr:to>
      <xdr:col>5</xdr:col>
      <xdr:colOff>390525</xdr:colOff>
      <xdr:row>5</xdr:row>
      <xdr:rowOff>361950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BB0EFE2-BC02-4E4C-8B83-86CDC0DF5F29}"/>
            </a:ext>
          </a:extLst>
        </xdr:cNvPr>
        <xdr:cNvSpPr/>
      </xdr:nvSpPr>
      <xdr:spPr>
        <a:xfrm>
          <a:off x="2800350" y="809625"/>
          <a:ext cx="990600" cy="219075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352425</xdr:colOff>
      <xdr:row>6</xdr:row>
      <xdr:rowOff>171450</xdr:rowOff>
    </xdr:from>
    <xdr:to>
      <xdr:col>6</xdr:col>
      <xdr:colOff>342900</xdr:colOff>
      <xdr:row>6</xdr:row>
      <xdr:rowOff>400050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FF2777-D7B3-4FF5-A8F0-A00E12694941}"/>
            </a:ext>
          </a:extLst>
        </xdr:cNvPr>
        <xdr:cNvSpPr/>
      </xdr:nvSpPr>
      <xdr:spPr>
        <a:xfrm>
          <a:off x="3143250" y="1419225"/>
          <a:ext cx="1209675" cy="2286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266700</xdr:colOff>
      <xdr:row>7</xdr:row>
      <xdr:rowOff>171449</xdr:rowOff>
    </xdr:from>
    <xdr:to>
      <xdr:col>7</xdr:col>
      <xdr:colOff>390525</xdr:colOff>
      <xdr:row>7</xdr:row>
      <xdr:rowOff>409574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E5CC007-BA4E-4D7D-89E0-2DE45D0A5C49}"/>
            </a:ext>
          </a:extLst>
        </xdr:cNvPr>
        <xdr:cNvSpPr/>
      </xdr:nvSpPr>
      <xdr:spPr>
        <a:xfrm>
          <a:off x="3190875" y="2000249"/>
          <a:ext cx="2295525" cy="238125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381000</xdr:colOff>
      <xdr:row>8</xdr:row>
      <xdr:rowOff>180976</xdr:rowOff>
    </xdr:from>
    <xdr:to>
      <xdr:col>7</xdr:col>
      <xdr:colOff>666750</xdr:colOff>
      <xdr:row>8</xdr:row>
      <xdr:rowOff>390526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56BAB45-2D3C-4260-9932-0867DCDF30BF}"/>
            </a:ext>
          </a:extLst>
        </xdr:cNvPr>
        <xdr:cNvSpPr/>
      </xdr:nvSpPr>
      <xdr:spPr>
        <a:xfrm>
          <a:off x="4038600" y="2581276"/>
          <a:ext cx="1724025" cy="209550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485775</xdr:colOff>
      <xdr:row>9</xdr:row>
      <xdr:rowOff>171450</xdr:rowOff>
    </xdr:from>
    <xdr:to>
      <xdr:col>8</xdr:col>
      <xdr:colOff>790575</xdr:colOff>
      <xdr:row>9</xdr:row>
      <xdr:rowOff>390525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FD37C20-546A-4E40-90AC-1BCDC0398225}"/>
            </a:ext>
          </a:extLst>
        </xdr:cNvPr>
        <xdr:cNvSpPr/>
      </xdr:nvSpPr>
      <xdr:spPr>
        <a:xfrm>
          <a:off x="4867275" y="3152775"/>
          <a:ext cx="1771650" cy="219075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276225</xdr:colOff>
      <xdr:row>5</xdr:row>
      <xdr:rowOff>219075</xdr:rowOff>
    </xdr:from>
    <xdr:to>
      <xdr:col>6</xdr:col>
      <xdr:colOff>104775</xdr:colOff>
      <xdr:row>6</xdr:row>
      <xdr:rowOff>190500</xdr:rowOff>
    </xdr:to>
    <xdr:pic>
      <xdr:nvPicPr>
        <xdr:cNvPr id="14" name="Graphic 13" descr="Arrow: Clockwise curve outline">
          <a:extLst>
            <a:ext uri="{FF2B5EF4-FFF2-40B4-BE49-F238E27FC236}">
              <a16:creationId xmlns:a16="http://schemas.microsoft.com/office/drawing/2014/main" id="{C2B083A3-022E-4EBA-9EF2-077B9D4D8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933825" y="885825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6</xdr:row>
      <xdr:rowOff>200025</xdr:rowOff>
    </xdr:from>
    <xdr:to>
      <xdr:col>7</xdr:col>
      <xdr:colOff>66675</xdr:colOff>
      <xdr:row>7</xdr:row>
      <xdr:rowOff>171450</xdr:rowOff>
    </xdr:to>
    <xdr:pic>
      <xdr:nvPicPr>
        <xdr:cNvPr id="15" name="Graphic 14" descr="Arrow: Clockwise curve outline">
          <a:extLst>
            <a:ext uri="{FF2B5EF4-FFF2-40B4-BE49-F238E27FC236}">
              <a16:creationId xmlns:a16="http://schemas.microsoft.com/office/drawing/2014/main" id="{94E12C18-F61F-4FF3-BD67-9FB30D57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4610100" y="1447800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7</xdr:row>
      <xdr:rowOff>209550</xdr:rowOff>
    </xdr:from>
    <xdr:to>
      <xdr:col>8</xdr:col>
      <xdr:colOff>66675</xdr:colOff>
      <xdr:row>8</xdr:row>
      <xdr:rowOff>190500</xdr:rowOff>
    </xdr:to>
    <xdr:pic>
      <xdr:nvPicPr>
        <xdr:cNvPr id="16" name="Graphic 15" descr="Arrow: Clockwise curve outline">
          <a:extLst>
            <a:ext uri="{FF2B5EF4-FFF2-40B4-BE49-F238E27FC236}">
              <a16:creationId xmlns:a16="http://schemas.microsoft.com/office/drawing/2014/main" id="{4D4E5FA4-415D-431B-8E2C-60F998C77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5362575" y="2038350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561975</xdr:colOff>
      <xdr:row>8</xdr:row>
      <xdr:rowOff>219075</xdr:rowOff>
    </xdr:from>
    <xdr:to>
      <xdr:col>8</xdr:col>
      <xdr:colOff>361950</xdr:colOff>
      <xdr:row>9</xdr:row>
      <xdr:rowOff>190500</xdr:rowOff>
    </xdr:to>
    <xdr:pic>
      <xdr:nvPicPr>
        <xdr:cNvPr id="17" name="Graphic 16" descr="Arrow: Clockwise curve outline">
          <a:extLst>
            <a:ext uri="{FF2B5EF4-FFF2-40B4-BE49-F238E27FC236}">
              <a16:creationId xmlns:a16="http://schemas.microsoft.com/office/drawing/2014/main" id="{EB069704-6C15-4627-B990-46F5066F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5657850" y="2619375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4</xdr:row>
      <xdr:rowOff>85725</xdr:rowOff>
    </xdr:from>
    <xdr:to>
      <xdr:col>5</xdr:col>
      <xdr:colOff>57150</xdr:colOff>
      <xdr:row>5</xdr:row>
      <xdr:rowOff>161925</xdr:rowOff>
    </xdr:to>
    <xdr:pic>
      <xdr:nvPicPr>
        <xdr:cNvPr id="7" name="Graphic 6" descr="Arrow: Clockwise curve outline">
          <a:extLst>
            <a:ext uri="{FF2B5EF4-FFF2-40B4-BE49-F238E27FC236}">
              <a16:creationId xmlns:a16="http://schemas.microsoft.com/office/drawing/2014/main" id="{762814F9-1B16-033B-1862-82C8964AA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3162300" y="276225"/>
          <a:ext cx="552450" cy="5524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3670-4240-4674-8EF5-150D8A1F9C5B}">
  <dimension ref="B2:H10"/>
  <sheetViews>
    <sheetView showGridLines="0" zoomScale="120" zoomScaleNormal="120" workbookViewId="0">
      <selection activeCell="L10" sqref="L10"/>
    </sheetView>
  </sheetViews>
  <sheetFormatPr defaultRowHeight="15" x14ac:dyDescent="0.25"/>
  <cols>
    <col min="2" max="2" width="7.42578125" customWidth="1"/>
    <col min="3" max="3" width="17.28515625" customWidth="1"/>
    <col min="4" max="4" width="11.5703125" customWidth="1"/>
    <col min="5" max="5" width="31.28515625" customWidth="1"/>
    <col min="6" max="6" width="29.28515625" customWidth="1"/>
    <col min="7" max="7" width="9.140625" bestFit="1" customWidth="1"/>
    <col min="8" max="8" width="36.85546875" customWidth="1"/>
  </cols>
  <sheetData>
    <row r="2" spans="2:8" x14ac:dyDescent="0.25">
      <c r="B2" s="11" t="s">
        <v>72</v>
      </c>
      <c r="C2" s="11" t="s">
        <v>35</v>
      </c>
      <c r="D2" s="11" t="s">
        <v>36</v>
      </c>
      <c r="E2" s="11" t="s">
        <v>37</v>
      </c>
      <c r="F2" s="11" t="s">
        <v>38</v>
      </c>
      <c r="G2" s="11" t="s">
        <v>39</v>
      </c>
      <c r="H2" s="11" t="s">
        <v>40</v>
      </c>
    </row>
    <row r="3" spans="2:8" ht="33" customHeight="1" x14ac:dyDescent="0.25">
      <c r="B3" s="8">
        <v>1</v>
      </c>
      <c r="C3" s="8" t="s">
        <v>41</v>
      </c>
      <c r="D3" s="8" t="s">
        <v>42</v>
      </c>
      <c r="E3" s="8" t="s">
        <v>44</v>
      </c>
      <c r="F3" s="8" t="s">
        <v>43</v>
      </c>
      <c r="G3" s="8">
        <v>8</v>
      </c>
      <c r="H3" s="8" t="s">
        <v>45</v>
      </c>
    </row>
    <row r="4" spans="2:8" ht="45" x14ac:dyDescent="0.25">
      <c r="B4" s="9">
        <v>2</v>
      </c>
      <c r="C4" s="9" t="s">
        <v>46</v>
      </c>
      <c r="D4" s="9" t="s">
        <v>42</v>
      </c>
      <c r="E4" s="9" t="s">
        <v>47</v>
      </c>
      <c r="F4" s="9" t="s">
        <v>48</v>
      </c>
      <c r="G4" s="9">
        <v>13</v>
      </c>
      <c r="H4" s="10" t="s">
        <v>56</v>
      </c>
    </row>
    <row r="5" spans="2:8" ht="45" x14ac:dyDescent="0.25">
      <c r="B5" s="8">
        <v>3</v>
      </c>
      <c r="C5" s="8" t="s">
        <v>49</v>
      </c>
      <c r="D5" s="8" t="s">
        <v>42</v>
      </c>
      <c r="E5" s="8" t="s">
        <v>50</v>
      </c>
      <c r="F5" s="8" t="s">
        <v>51</v>
      </c>
      <c r="G5" s="8">
        <v>8</v>
      </c>
      <c r="H5" s="8" t="s">
        <v>58</v>
      </c>
    </row>
    <row r="6" spans="2:8" ht="45" x14ac:dyDescent="0.25">
      <c r="B6" s="9">
        <v>4</v>
      </c>
      <c r="C6" s="9" t="s">
        <v>52</v>
      </c>
      <c r="D6" s="9" t="s">
        <v>42</v>
      </c>
      <c r="E6" s="9" t="s">
        <v>53</v>
      </c>
      <c r="F6" s="9" t="s">
        <v>54</v>
      </c>
      <c r="G6" s="9">
        <v>13</v>
      </c>
      <c r="H6" s="9" t="s">
        <v>58</v>
      </c>
    </row>
    <row r="7" spans="2:8" ht="60" x14ac:dyDescent="0.25">
      <c r="B7" s="8">
        <v>5</v>
      </c>
      <c r="C7" s="8" t="s">
        <v>61</v>
      </c>
      <c r="D7" s="8" t="s">
        <v>42</v>
      </c>
      <c r="E7" s="8" t="s">
        <v>62</v>
      </c>
      <c r="F7" s="8" t="s">
        <v>63</v>
      </c>
      <c r="G7" s="8">
        <v>13</v>
      </c>
      <c r="H7" s="8" t="s">
        <v>64</v>
      </c>
    </row>
    <row r="8" spans="2:8" ht="30" x14ac:dyDescent="0.25">
      <c r="B8" s="9">
        <v>6</v>
      </c>
      <c r="C8" s="9" t="s">
        <v>65</v>
      </c>
      <c r="D8" s="9" t="s">
        <v>42</v>
      </c>
      <c r="E8" s="9" t="s">
        <v>66</v>
      </c>
      <c r="F8" s="9" t="s">
        <v>67</v>
      </c>
      <c r="G8" s="9">
        <v>8</v>
      </c>
      <c r="H8" s="9" t="s">
        <v>68</v>
      </c>
    </row>
    <row r="9" spans="2:8" ht="30" x14ac:dyDescent="0.25">
      <c r="B9" s="8">
        <v>7</v>
      </c>
      <c r="C9" s="8" t="s">
        <v>55</v>
      </c>
      <c r="D9" s="8" t="s">
        <v>42</v>
      </c>
      <c r="E9" s="8" t="s">
        <v>57</v>
      </c>
      <c r="F9" s="8" t="s">
        <v>60</v>
      </c>
      <c r="G9" s="8">
        <v>8</v>
      </c>
      <c r="H9" s="8" t="s">
        <v>59</v>
      </c>
    </row>
    <row r="10" spans="2:8" ht="45" x14ac:dyDescent="0.25">
      <c r="B10" s="9">
        <v>8</v>
      </c>
      <c r="C10" s="9" t="s">
        <v>69</v>
      </c>
      <c r="D10" s="9" t="s">
        <v>42</v>
      </c>
      <c r="E10" s="9" t="s">
        <v>70</v>
      </c>
      <c r="F10" s="9" t="s">
        <v>71</v>
      </c>
      <c r="G10" s="9">
        <v>5</v>
      </c>
      <c r="H1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6761-8268-4C66-B799-6754DEC0483A}">
  <dimension ref="A1:A61"/>
  <sheetViews>
    <sheetView workbookViewId="0">
      <selection activeCell="A52" sqref="A52"/>
    </sheetView>
  </sheetViews>
  <sheetFormatPr defaultRowHeight="15" x14ac:dyDescent="0.25"/>
  <cols>
    <col min="1" max="1" width="138" bestFit="1" customWidth="1"/>
  </cols>
  <sheetData>
    <row r="1" spans="1:1" ht="21" x14ac:dyDescent="0.25">
      <c r="A1" s="2" t="s">
        <v>0</v>
      </c>
    </row>
    <row r="2" spans="1:1" x14ac:dyDescent="0.25">
      <c r="A2" s="3"/>
    </row>
    <row r="3" spans="1:1" ht="16.5" x14ac:dyDescent="0.25">
      <c r="A3" s="4" t="s">
        <v>1</v>
      </c>
    </row>
    <row r="4" spans="1:1" ht="16.5" x14ac:dyDescent="0.25">
      <c r="A4" s="5" t="s">
        <v>2</v>
      </c>
    </row>
    <row r="5" spans="1:1" x14ac:dyDescent="0.25">
      <c r="A5" s="3"/>
    </row>
    <row r="6" spans="1:1" ht="16.5" x14ac:dyDescent="0.25">
      <c r="A6" s="4" t="s">
        <v>3</v>
      </c>
    </row>
    <row r="7" spans="1:1" ht="16.5" x14ac:dyDescent="0.25">
      <c r="A7" s="6" t="s">
        <v>4</v>
      </c>
    </row>
    <row r="8" spans="1:1" ht="16.5" x14ac:dyDescent="0.25">
      <c r="A8" s="6" t="s">
        <v>5</v>
      </c>
    </row>
    <row r="9" spans="1:1" ht="16.5" x14ac:dyDescent="0.25">
      <c r="A9" s="6" t="s">
        <v>6</v>
      </c>
    </row>
    <row r="10" spans="1:1" ht="16.5" x14ac:dyDescent="0.25">
      <c r="A10" s="4" t="s">
        <v>7</v>
      </c>
    </row>
    <row r="11" spans="1:1" ht="16.5" x14ac:dyDescent="0.25">
      <c r="A11" s="4" t="s">
        <v>8</v>
      </c>
    </row>
    <row r="12" spans="1:1" x14ac:dyDescent="0.25">
      <c r="A12" s="1"/>
    </row>
    <row r="13" spans="1:1" ht="21" x14ac:dyDescent="0.25">
      <c r="A13" s="2" t="s">
        <v>9</v>
      </c>
    </row>
    <row r="14" spans="1:1" x14ac:dyDescent="0.25">
      <c r="A14" s="3"/>
    </row>
    <row r="15" spans="1:1" ht="16.5" x14ac:dyDescent="0.25">
      <c r="A15" s="4" t="s">
        <v>1</v>
      </c>
    </row>
    <row r="16" spans="1:1" ht="16.5" x14ac:dyDescent="0.25">
      <c r="A16" s="5" t="s">
        <v>10</v>
      </c>
    </row>
    <row r="17" spans="1:1" x14ac:dyDescent="0.25">
      <c r="A17" s="3"/>
    </row>
    <row r="18" spans="1:1" ht="16.5" x14ac:dyDescent="0.25">
      <c r="A18" s="4" t="s">
        <v>3</v>
      </c>
    </row>
    <row r="19" spans="1:1" ht="16.5" x14ac:dyDescent="0.25">
      <c r="A19" s="6" t="s">
        <v>11</v>
      </c>
    </row>
    <row r="20" spans="1:1" ht="16.5" x14ac:dyDescent="0.25">
      <c r="A20" s="6" t="s">
        <v>12</v>
      </c>
    </row>
    <row r="21" spans="1:1" ht="16.5" x14ac:dyDescent="0.25">
      <c r="A21" s="6" t="s">
        <v>13</v>
      </c>
    </row>
    <row r="22" spans="1:1" ht="16.5" x14ac:dyDescent="0.25">
      <c r="A22" s="4" t="s">
        <v>7</v>
      </c>
    </row>
    <row r="23" spans="1:1" ht="16.5" x14ac:dyDescent="0.25">
      <c r="A23" s="4" t="s">
        <v>14</v>
      </c>
    </row>
    <row r="24" spans="1:1" x14ac:dyDescent="0.25">
      <c r="A24" s="1"/>
    </row>
    <row r="25" spans="1:1" ht="21" x14ac:dyDescent="0.25">
      <c r="A25" s="2" t="s">
        <v>15</v>
      </c>
    </row>
    <row r="26" spans="1:1" x14ac:dyDescent="0.25">
      <c r="A26" s="3"/>
    </row>
    <row r="27" spans="1:1" ht="16.5" x14ac:dyDescent="0.25">
      <c r="A27" s="4" t="s">
        <v>1</v>
      </c>
    </row>
    <row r="28" spans="1:1" ht="16.5" x14ac:dyDescent="0.25">
      <c r="A28" s="5" t="s">
        <v>16</v>
      </c>
    </row>
    <row r="29" spans="1:1" x14ac:dyDescent="0.25">
      <c r="A29" s="3"/>
    </row>
    <row r="30" spans="1:1" ht="16.5" x14ac:dyDescent="0.25">
      <c r="A30" s="4" t="s">
        <v>3</v>
      </c>
    </row>
    <row r="31" spans="1:1" ht="16.5" x14ac:dyDescent="0.25">
      <c r="A31" s="6" t="s">
        <v>17</v>
      </c>
    </row>
    <row r="32" spans="1:1" ht="16.5" x14ac:dyDescent="0.25">
      <c r="A32" s="6" t="s">
        <v>18</v>
      </c>
    </row>
    <row r="33" spans="1:1" ht="16.5" x14ac:dyDescent="0.25">
      <c r="A33" s="6" t="s">
        <v>19</v>
      </c>
    </row>
    <row r="34" spans="1:1" ht="16.5" x14ac:dyDescent="0.25">
      <c r="A34" s="4" t="s">
        <v>7</v>
      </c>
    </row>
    <row r="35" spans="1:1" ht="16.5" x14ac:dyDescent="0.25">
      <c r="A35" s="4" t="s">
        <v>20</v>
      </c>
    </row>
    <row r="36" spans="1:1" x14ac:dyDescent="0.25">
      <c r="A36" s="1"/>
    </row>
    <row r="37" spans="1:1" ht="21" x14ac:dyDescent="0.25">
      <c r="A37" s="2" t="s">
        <v>21</v>
      </c>
    </row>
    <row r="38" spans="1:1" x14ac:dyDescent="0.25">
      <c r="A38" s="3"/>
    </row>
    <row r="39" spans="1:1" ht="16.5" x14ac:dyDescent="0.25">
      <c r="A39" s="4" t="s">
        <v>1</v>
      </c>
    </row>
    <row r="40" spans="1:1" ht="16.5" x14ac:dyDescent="0.25">
      <c r="A40" s="5" t="s">
        <v>22</v>
      </c>
    </row>
    <row r="41" spans="1:1" x14ac:dyDescent="0.25">
      <c r="A41" s="3"/>
    </row>
    <row r="42" spans="1:1" ht="16.5" x14ac:dyDescent="0.25">
      <c r="A42" s="4" t="s">
        <v>3</v>
      </c>
    </row>
    <row r="43" spans="1:1" ht="16.5" x14ac:dyDescent="0.25">
      <c r="A43" s="6" t="s">
        <v>23</v>
      </c>
    </row>
    <row r="44" spans="1:1" ht="16.5" x14ac:dyDescent="0.25">
      <c r="A44" s="6" t="s">
        <v>24</v>
      </c>
    </row>
    <row r="45" spans="1:1" ht="16.5" x14ac:dyDescent="0.25">
      <c r="A45" s="6" t="s">
        <v>25</v>
      </c>
    </row>
    <row r="46" spans="1:1" ht="16.5" x14ac:dyDescent="0.25">
      <c r="A46" s="4" t="s">
        <v>26</v>
      </c>
    </row>
    <row r="47" spans="1:1" ht="16.5" x14ac:dyDescent="0.25">
      <c r="A47" s="4" t="s">
        <v>27</v>
      </c>
    </row>
    <row r="48" spans="1:1" x14ac:dyDescent="0.25">
      <c r="A48" s="1"/>
    </row>
    <row r="49" spans="1:1" ht="21" x14ac:dyDescent="0.25">
      <c r="A49" s="2" t="s">
        <v>28</v>
      </c>
    </row>
    <row r="50" spans="1:1" x14ac:dyDescent="0.25">
      <c r="A50" s="3"/>
    </row>
    <row r="51" spans="1:1" ht="16.5" x14ac:dyDescent="0.25">
      <c r="A51" s="4" t="s">
        <v>1</v>
      </c>
    </row>
    <row r="52" spans="1:1" ht="16.5" x14ac:dyDescent="0.25">
      <c r="A52" s="5" t="s">
        <v>29</v>
      </c>
    </row>
    <row r="53" spans="1:1" x14ac:dyDescent="0.25">
      <c r="A53" s="3"/>
    </row>
    <row r="54" spans="1:1" ht="16.5" x14ac:dyDescent="0.25">
      <c r="A54" s="4" t="s">
        <v>3</v>
      </c>
    </row>
    <row r="55" spans="1:1" ht="16.5" x14ac:dyDescent="0.25">
      <c r="A55" s="6" t="s">
        <v>30</v>
      </c>
    </row>
    <row r="56" spans="1:1" ht="16.5" x14ac:dyDescent="0.25">
      <c r="A56" s="6" t="s">
        <v>31</v>
      </c>
    </row>
    <row r="57" spans="1:1" ht="16.5" x14ac:dyDescent="0.25">
      <c r="A57" s="6" t="s">
        <v>32</v>
      </c>
    </row>
    <row r="58" spans="1:1" ht="16.5" x14ac:dyDescent="0.25">
      <c r="A58" s="4" t="s">
        <v>26</v>
      </c>
    </row>
    <row r="59" spans="1:1" ht="16.5" x14ac:dyDescent="0.25">
      <c r="A59" s="4" t="s">
        <v>33</v>
      </c>
    </row>
    <row r="60" spans="1:1" x14ac:dyDescent="0.25">
      <c r="A60" s="1"/>
    </row>
    <row r="61" spans="1:1" ht="16.5" x14ac:dyDescent="0.25">
      <c r="A61" s="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BA80-466F-4C80-A814-4F8C64340B33}">
  <dimension ref="A1:E13"/>
  <sheetViews>
    <sheetView showGridLines="0" zoomScale="140" zoomScaleNormal="140" workbookViewId="0">
      <selection activeCell="X8" sqref="X8"/>
    </sheetView>
  </sheetViews>
  <sheetFormatPr defaultRowHeight="15" x14ac:dyDescent="0.25"/>
  <sheetData>
    <row r="1" spans="1:5" x14ac:dyDescent="0.25">
      <c r="A1" t="s">
        <v>73</v>
      </c>
      <c r="B1" t="s">
        <v>86</v>
      </c>
      <c r="C1" t="s">
        <v>87</v>
      </c>
    </row>
    <row r="2" spans="1:5" x14ac:dyDescent="0.25">
      <c r="A2" t="s">
        <v>74</v>
      </c>
      <c r="B2">
        <v>99</v>
      </c>
      <c r="C2">
        <v>51</v>
      </c>
    </row>
    <row r="3" spans="1:5" x14ac:dyDescent="0.25">
      <c r="A3" t="s">
        <v>75</v>
      </c>
      <c r="B3">
        <v>124</v>
      </c>
      <c r="C3">
        <v>71</v>
      </c>
    </row>
    <row r="4" spans="1:5" x14ac:dyDescent="0.25">
      <c r="A4" t="s">
        <v>76</v>
      </c>
      <c r="B4">
        <v>129</v>
      </c>
      <c r="C4">
        <v>73</v>
      </c>
      <c r="E4">
        <f>SUM(C2:C5)</f>
        <v>281</v>
      </c>
    </row>
    <row r="5" spans="1:5" x14ac:dyDescent="0.25">
      <c r="A5" t="s">
        <v>77</v>
      </c>
      <c r="B5">
        <v>130</v>
      </c>
      <c r="C5">
        <v>86</v>
      </c>
      <c r="E5">
        <f>SUM(C6:C9)</f>
        <v>344</v>
      </c>
    </row>
    <row r="6" spans="1:5" x14ac:dyDescent="0.25">
      <c r="A6" t="s">
        <v>78</v>
      </c>
      <c r="B6">
        <v>105</v>
      </c>
      <c r="C6">
        <v>70</v>
      </c>
      <c r="E6">
        <f>SUM(C10:C13)</f>
        <v>389</v>
      </c>
    </row>
    <row r="7" spans="1:5" x14ac:dyDescent="0.25">
      <c r="A7" t="s">
        <v>79</v>
      </c>
      <c r="B7">
        <v>134</v>
      </c>
      <c r="C7">
        <v>89</v>
      </c>
    </row>
    <row r="8" spans="1:5" x14ac:dyDescent="0.25">
      <c r="A8" t="s">
        <v>80</v>
      </c>
      <c r="B8">
        <v>142</v>
      </c>
      <c r="C8">
        <v>92</v>
      </c>
    </row>
    <row r="9" spans="1:5" x14ac:dyDescent="0.25">
      <c r="A9" t="s">
        <v>81</v>
      </c>
      <c r="B9">
        <v>153</v>
      </c>
      <c r="C9">
        <v>93</v>
      </c>
    </row>
    <row r="10" spans="1:5" x14ac:dyDescent="0.25">
      <c r="A10" t="s">
        <v>82</v>
      </c>
      <c r="B10">
        <v>126</v>
      </c>
      <c r="C10">
        <v>80</v>
      </c>
    </row>
    <row r="11" spans="1:5" x14ac:dyDescent="0.25">
      <c r="A11" t="s">
        <v>83</v>
      </c>
      <c r="B11">
        <v>144</v>
      </c>
      <c r="C11">
        <v>95</v>
      </c>
    </row>
    <row r="12" spans="1:5" x14ac:dyDescent="0.25">
      <c r="A12" t="s">
        <v>84</v>
      </c>
      <c r="B12">
        <v>153</v>
      </c>
      <c r="C12">
        <v>100</v>
      </c>
    </row>
    <row r="13" spans="1:5" x14ac:dyDescent="0.25">
      <c r="A13" t="s">
        <v>85</v>
      </c>
      <c r="B13">
        <v>173</v>
      </c>
      <c r="C13">
        <v>114</v>
      </c>
    </row>
  </sheetData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CC32-7626-475A-B911-FCDA5E9B8E54}">
  <dimension ref="A1"/>
  <sheetViews>
    <sheetView topLeftCell="A4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1EAB-96DA-44A1-8831-E4F21B6A52C7}">
  <dimension ref="B2:I12"/>
  <sheetViews>
    <sheetView showGridLines="0" tabSelected="1" workbookViewId="0">
      <selection activeCell="K8" sqref="K8"/>
    </sheetView>
  </sheetViews>
  <sheetFormatPr defaultRowHeight="15" x14ac:dyDescent="0.25"/>
  <cols>
    <col min="2" max="2" width="11.7109375" customWidth="1"/>
    <col min="3" max="3" width="21" customWidth="1"/>
    <col min="4" max="4" width="11.140625" customWidth="1"/>
    <col min="5" max="5" width="11" customWidth="1"/>
    <col min="6" max="6" width="10.85546875" customWidth="1"/>
    <col min="7" max="7" width="10.7109375" customWidth="1"/>
    <col min="8" max="8" width="11.28515625" customWidth="1"/>
    <col min="9" max="9" width="13.42578125" customWidth="1"/>
  </cols>
  <sheetData>
    <row r="2" spans="2:9" x14ac:dyDescent="0.25">
      <c r="B2" s="20" t="s">
        <v>100</v>
      </c>
      <c r="C2" s="20"/>
      <c r="D2" s="20"/>
      <c r="E2" s="20"/>
      <c r="F2" s="20"/>
      <c r="G2" s="20"/>
      <c r="H2" s="20"/>
      <c r="I2" s="20"/>
    </row>
    <row r="4" spans="2:9" x14ac:dyDescent="0.25">
      <c r="D4" s="19" t="s">
        <v>94</v>
      </c>
      <c r="E4" s="19" t="s">
        <v>95</v>
      </c>
      <c r="F4" s="19" t="s">
        <v>96</v>
      </c>
      <c r="G4" s="19" t="s">
        <v>97</v>
      </c>
      <c r="H4" s="19" t="s">
        <v>98</v>
      </c>
      <c r="I4" s="19" t="s">
        <v>99</v>
      </c>
    </row>
    <row r="5" spans="2:9" ht="37.5" customHeight="1" x14ac:dyDescent="0.25">
      <c r="B5" s="13" t="e" vm="1">
        <v>#VALUE!</v>
      </c>
      <c r="C5" s="18" t="s">
        <v>88</v>
      </c>
      <c r="D5" s="12"/>
      <c r="E5" s="12"/>
      <c r="F5" s="12"/>
      <c r="G5" s="12"/>
      <c r="H5" s="12"/>
      <c r="I5" s="12"/>
    </row>
    <row r="6" spans="2:9" ht="45.75" customHeight="1" x14ac:dyDescent="0.25">
      <c r="B6" s="14" t="e" vm="2">
        <v>#VALUE!</v>
      </c>
      <c r="C6" s="18" t="s">
        <v>89</v>
      </c>
      <c r="D6" s="12"/>
      <c r="E6" s="12"/>
      <c r="F6" s="12"/>
      <c r="G6" s="12"/>
      <c r="H6" s="12"/>
      <c r="I6" s="12"/>
    </row>
    <row r="7" spans="2:9" ht="45.75" customHeight="1" x14ac:dyDescent="0.25">
      <c r="B7" s="14" t="e" vm="3">
        <v>#VALUE!</v>
      </c>
      <c r="C7" s="18" t="s">
        <v>90</v>
      </c>
      <c r="D7" s="12"/>
      <c r="E7" s="12"/>
      <c r="F7" s="12"/>
      <c r="G7" s="12"/>
      <c r="H7" s="12"/>
      <c r="I7" s="12"/>
    </row>
    <row r="8" spans="2:9" ht="45" customHeight="1" x14ac:dyDescent="0.25">
      <c r="B8" s="14" t="e" vm="4">
        <v>#VALUE!</v>
      </c>
      <c r="C8" s="18" t="s">
        <v>91</v>
      </c>
      <c r="D8" s="12"/>
      <c r="E8" s="12"/>
      <c r="F8" s="12"/>
      <c r="G8" s="12"/>
      <c r="H8" s="12"/>
      <c r="I8" s="12"/>
    </row>
    <row r="9" spans="2:9" ht="45.75" customHeight="1" x14ac:dyDescent="0.25">
      <c r="B9" s="14" t="e" vm="5">
        <v>#VALUE!</v>
      </c>
      <c r="C9" s="18" t="s">
        <v>92</v>
      </c>
      <c r="D9" s="12"/>
      <c r="E9" s="12"/>
      <c r="F9" s="12"/>
      <c r="G9" s="12"/>
      <c r="H9" s="12"/>
      <c r="I9" s="12"/>
    </row>
    <row r="10" spans="2:9" ht="45" customHeight="1" x14ac:dyDescent="0.25">
      <c r="B10" s="14" t="e" vm="6">
        <v>#VALUE!</v>
      </c>
      <c r="C10" s="18" t="s">
        <v>93</v>
      </c>
      <c r="D10" s="12"/>
      <c r="E10" s="12"/>
      <c r="F10" s="12"/>
      <c r="G10" s="12"/>
      <c r="H10" s="12"/>
      <c r="I10" s="12"/>
    </row>
    <row r="12" spans="2:9" ht="31.5" customHeight="1" x14ac:dyDescent="0.25">
      <c r="D12" s="15" t="e" vm="7">
        <v>#VALUE!</v>
      </c>
      <c r="E12" s="16"/>
      <c r="F12" s="16"/>
      <c r="G12" s="16"/>
      <c r="H12" s="17"/>
    </row>
  </sheetData>
  <mergeCells count="2">
    <mergeCell ref="D12:H12"/>
    <mergeCell ref="B2:I2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backlog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Ok</dc:creator>
  <cp:lastModifiedBy>Phil Ok</cp:lastModifiedBy>
  <dcterms:created xsi:type="dcterms:W3CDTF">2026-01-08T16:31:30Z</dcterms:created>
  <dcterms:modified xsi:type="dcterms:W3CDTF">2026-01-14T22:02:54Z</dcterms:modified>
</cp:coreProperties>
</file>