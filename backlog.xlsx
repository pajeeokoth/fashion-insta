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ectre\Documents\OpenClassrooms_AI\fashion-insta\"/>
    </mc:Choice>
  </mc:AlternateContent>
  <xr:revisionPtr revIDLastSave="0" documentId="13_ncr:1_{BDABABA1-2510-42E3-97BD-3B64700F7109}" xr6:coauthVersionLast="47" xr6:coauthVersionMax="47" xr10:uidLastSave="{00000000-0000-0000-0000-000000000000}"/>
  <bookViews>
    <workbookView xWindow="7380" yWindow="825" windowWidth="17880" windowHeight="14010" xr2:uid="{9B746B4F-FB1E-444B-8156-FB1C45738087}"/>
  </bookViews>
  <sheets>
    <sheet name="backlog" sheetId="4" r:id="rId1"/>
    <sheet name="budget" sheetId="8" r:id="rId2"/>
    <sheet name="roi" sheetId="5" r:id="rId3"/>
    <sheet name="milestone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8" l="1"/>
  <c r="B3" i="8" s="1"/>
  <c r="E6" i="5"/>
  <c r="E5" i="5"/>
  <c r="E4" i="5"/>
  <c r="B6" i="8" l="1"/>
  <c r="B2" i="8"/>
  <c r="B5" i="8"/>
  <c r="B8" i="8"/>
  <c r="B4" i="8"/>
  <c r="B7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<sst xmlns="http://schemas.openxmlformats.org/spreadsheetml/2006/main" count="85" uniqueCount="77">
  <si>
    <t>Title...</t>
  </si>
  <si>
    <t>As a...</t>
  </si>
  <si>
    <t>I want to...</t>
  </si>
  <si>
    <t>in order to...</t>
  </si>
  <si>
    <t>Weight...</t>
  </si>
  <si>
    <t>Required data...</t>
  </si>
  <si>
    <t>User Authentication &amp; Profile Management</t>
  </si>
  <si>
    <t>Application user</t>
  </si>
  <si>
    <t>access my personalized shopping experience.</t>
  </si>
  <si>
    <t>securely register and log in using email, phone, or social accounts.</t>
  </si>
  <si>
    <t>Photo Upload &amp; Wardrobe Capture</t>
  </si>
  <si>
    <t>upload photos of my clothing and outfits</t>
  </si>
  <si>
    <t>have the app build a personal wardrobe catalog</t>
  </si>
  <si>
    <t>Outfit Recommendation Engine</t>
  </si>
  <si>
    <t>the app to suggest outfit combinations from my wardrobe for a given occasion and weather</t>
  </si>
  <si>
    <t>choose what to buy quickly</t>
  </si>
  <si>
    <t>Virtual Try-On / Outfit Preview</t>
  </si>
  <si>
    <t>virtually preview outfits on my uploaded photo or avatar</t>
  </si>
  <si>
    <t>see how combinations look before buying them.</t>
  </si>
  <si>
    <t>Personalization &amp; Learning</t>
  </si>
  <si>
    <t>User's photos</t>
  </si>
  <si>
    <t>have the app learn my style preferences over time</t>
  </si>
  <si>
    <t>User's photos,
Catalog photos
Model training &amp; testing data</t>
  </si>
  <si>
    <t>for recommendations to improve with my feedback</t>
  </si>
  <si>
    <t>Shopping Cart &amp; Checkout</t>
  </si>
  <si>
    <t>add products to my cart and complete purchases using multiple payment methods</t>
  </si>
  <si>
    <t>shop conveniently</t>
  </si>
  <si>
    <t>Order Tracking</t>
  </si>
  <si>
    <t>track my order status in real-time</t>
  </si>
  <si>
    <t>know when my purchase will arrive</t>
  </si>
  <si>
    <t>Push Notifications &amp; Promotions</t>
  </si>
  <si>
    <t xml:space="preserve"> receive notifications about offers and order updates</t>
  </si>
  <si>
    <t>stay informed and engaged</t>
  </si>
  <si>
    <t>Item</t>
  </si>
  <si>
    <t>Quarter</t>
  </si>
  <si>
    <t>2026-Q1</t>
  </si>
  <si>
    <t>2026-Q2</t>
  </si>
  <si>
    <t>2026-Q3</t>
  </si>
  <si>
    <t>2026-Q4</t>
  </si>
  <si>
    <t>2027-Q1</t>
  </si>
  <si>
    <t>2027-Q2</t>
  </si>
  <si>
    <t>2027-Q3</t>
  </si>
  <si>
    <t>2027-Q4</t>
  </si>
  <si>
    <t>2028-Q1</t>
  </si>
  <si>
    <t>2028-Q2</t>
  </si>
  <si>
    <t>2028-Q3</t>
  </si>
  <si>
    <t>2028-Q4</t>
  </si>
  <si>
    <t>Projected Sales ($MM)</t>
  </si>
  <si>
    <t>Projected Net Income ($MM)</t>
  </si>
  <si>
    <t>Planning &amp; Design</t>
  </si>
  <si>
    <t>Backend development</t>
  </si>
  <si>
    <t>Frontend Development</t>
  </si>
  <si>
    <t>Core Features</t>
  </si>
  <si>
    <t>Testing &amp; QA/QC</t>
  </si>
  <si>
    <t>Deployment &amp; Launch</t>
  </si>
  <si>
    <t>Week 1</t>
  </si>
  <si>
    <t>Week 2</t>
  </si>
  <si>
    <t>Week 3</t>
  </si>
  <si>
    <t>Week 4</t>
  </si>
  <si>
    <t>Week 5</t>
  </si>
  <si>
    <t>Week 6</t>
  </si>
  <si>
    <t>Fashion-Insta Shopping App Development Timeline</t>
  </si>
  <si>
    <t xml:space="preserve"> </t>
  </si>
  <si>
    <t>Budget</t>
  </si>
  <si>
    <t>Development</t>
  </si>
  <si>
    <t>Data&amp;AI/ML</t>
  </si>
  <si>
    <t>UX/UI</t>
  </si>
  <si>
    <t>Cloud Hosting</t>
  </si>
  <si>
    <t>Test&amp;Deploy</t>
  </si>
  <si>
    <t>Human Resources</t>
  </si>
  <si>
    <t>Miscelleneous</t>
  </si>
  <si>
    <t>Users email
User's phone number, 
User's username.</t>
  </si>
  <si>
    <t>Catalog photos
Model training &amp; testing data</t>
  </si>
  <si>
    <t>User's Address,
Shipping company Information,
tracking information</t>
  </si>
  <si>
    <t>User's email,
User's phone number</t>
  </si>
  <si>
    <t>Model training &amp; testing data,
User's photos,
Catalog photos</t>
  </si>
  <si>
    <t>Catalog photos,
Shopping cart items,
User's payment information,
User's shipping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</si>
</sst>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3" xfId="0" applyBorder="1" applyAlignment="1">
      <alignment vertical="center"/>
    </xf>
    <xf numFmtId="0" fontId="0" fillId="4" borderId="1" xfId="0" applyFill="1" applyBorder="1"/>
    <xf numFmtId="43" fontId="0" fillId="0" borderId="0" xfId="1" applyFont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23/09/relationships/Python" Target="pyth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budget!$B$1</c:f>
              <c:strCache>
                <c:ptCount val="1"/>
                <c:pt idx="0">
                  <c:v>Budget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FB-4CBD-9C96-7E5D7598A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FB-4CBD-9C96-7E5D7598A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FB-4CBD-9C96-7E5D7598A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FB-4CBD-9C96-7E5D7598A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FB-4CBD-9C96-7E5D7598A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FB-4CBD-9C96-7E5D7598A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1FB-4CBD-9C96-7E5D7598A2A4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budget!$A$2:$A$8</c:f>
              <c:strCache>
                <c:ptCount val="7"/>
                <c:pt idx="0">
                  <c:v>Development</c:v>
                </c:pt>
                <c:pt idx="1">
                  <c:v>Data&amp;AI/ML</c:v>
                </c:pt>
                <c:pt idx="2">
                  <c:v>UX/UI</c:v>
                </c:pt>
                <c:pt idx="3">
                  <c:v>Cloud Hosting</c:v>
                </c:pt>
                <c:pt idx="4">
                  <c:v>Test&amp;Deploy</c:v>
                </c:pt>
                <c:pt idx="5">
                  <c:v>Human Resources</c:v>
                </c:pt>
                <c:pt idx="6">
                  <c:v>Miscelleneous</c:v>
                </c:pt>
              </c:strCache>
            </c:strRef>
          </c:cat>
          <c:val>
            <c:numRef>
              <c:f>budget!$B$2:$B$8</c:f>
              <c:numCache>
                <c:formatCode>_(* #,##0.00_);_(* \(#,##0.00\);_(* "-"??_);_(@_)</c:formatCode>
                <c:ptCount val="7"/>
                <c:pt idx="0">
                  <c:v>0.26070763500931099</c:v>
                </c:pt>
                <c:pt idx="1">
                  <c:v>7.4487895716946001E-2</c:v>
                </c:pt>
                <c:pt idx="2">
                  <c:v>5.5865921787709494E-2</c:v>
                </c:pt>
                <c:pt idx="3">
                  <c:v>3.7243947858473E-2</c:v>
                </c:pt>
                <c:pt idx="4">
                  <c:v>3.165735567970205E-2</c:v>
                </c:pt>
                <c:pt idx="5">
                  <c:v>0.46554934823091249</c:v>
                </c:pt>
                <c:pt idx="6">
                  <c:v>7.4487895716946001E-2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BD-4ECC-8412-42B3077F0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Quarterly</a:t>
            </a:r>
            <a:r>
              <a:rPr lang="en-US" baseline="0"/>
              <a:t> </a:t>
            </a:r>
            <a:r>
              <a:rPr lang="en-US"/>
              <a:t>Sales</a:t>
            </a:r>
            <a:r>
              <a:rPr lang="en-US" baseline="0"/>
              <a:t> and Profit ($MM)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roi!$B$1</c:f>
              <c:strCache>
                <c:ptCount val="1"/>
                <c:pt idx="0">
                  <c:v>Projected Sales ($MM)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roi!$A$2:$A$13</c:f>
              <c:strCache>
                <c:ptCount val="12"/>
                <c:pt idx="0">
                  <c:v>2026-Q1</c:v>
                </c:pt>
                <c:pt idx="1">
                  <c:v>2026-Q2</c:v>
                </c:pt>
                <c:pt idx="2">
                  <c:v>2026-Q3</c:v>
                </c:pt>
                <c:pt idx="3">
                  <c:v>2026-Q4</c:v>
                </c:pt>
                <c:pt idx="4">
                  <c:v>2027-Q1</c:v>
                </c:pt>
                <c:pt idx="5">
                  <c:v>2027-Q2</c:v>
                </c:pt>
                <c:pt idx="6">
                  <c:v>2027-Q3</c:v>
                </c:pt>
                <c:pt idx="7">
                  <c:v>2027-Q4</c:v>
                </c:pt>
                <c:pt idx="8">
                  <c:v>2028-Q1</c:v>
                </c:pt>
                <c:pt idx="9">
                  <c:v>2028-Q2</c:v>
                </c:pt>
                <c:pt idx="10">
                  <c:v>2028-Q3</c:v>
                </c:pt>
                <c:pt idx="11">
                  <c:v>2028-Q4</c:v>
                </c:pt>
              </c:strCache>
            </c:strRef>
          </c:cat>
          <c:val>
            <c:numRef>
              <c:f>roi!$B$2:$B$13</c:f>
              <c:numCache>
                <c:formatCode>General</c:formatCode>
                <c:ptCount val="12"/>
                <c:pt idx="0">
                  <c:v>99</c:v>
                </c:pt>
                <c:pt idx="1">
                  <c:v>124</c:v>
                </c:pt>
                <c:pt idx="2">
                  <c:v>129</c:v>
                </c:pt>
                <c:pt idx="3">
                  <c:v>130</c:v>
                </c:pt>
                <c:pt idx="4">
                  <c:v>105</c:v>
                </c:pt>
                <c:pt idx="5">
                  <c:v>134</c:v>
                </c:pt>
                <c:pt idx="6">
                  <c:v>142</c:v>
                </c:pt>
                <c:pt idx="7">
                  <c:v>153</c:v>
                </c:pt>
                <c:pt idx="8">
                  <c:v>126</c:v>
                </c:pt>
                <c:pt idx="9">
                  <c:v>144</c:v>
                </c:pt>
                <c:pt idx="10">
                  <c:v>153</c:v>
                </c:pt>
                <c:pt idx="11">
                  <c:v>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9-4C4E-A996-A614E5D1C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982720"/>
        <c:axId val="504983440"/>
      </c:barChart>
      <c:lineChart>
        <c:grouping val="standard"/>
        <c:varyColors val="0"/>
        <c:ser>
          <c:idx val="1"/>
          <c:order val="1"/>
          <c:tx>
            <c:strRef>
              <c:f>roi!$C$1</c:f>
              <c:strCache>
                <c:ptCount val="1"/>
                <c:pt idx="0">
                  <c:v>Projected Net Income ($MM)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roi!$A$2:$A$13</c:f>
              <c:strCache>
                <c:ptCount val="12"/>
                <c:pt idx="0">
                  <c:v>2026-Q1</c:v>
                </c:pt>
                <c:pt idx="1">
                  <c:v>2026-Q2</c:v>
                </c:pt>
                <c:pt idx="2">
                  <c:v>2026-Q3</c:v>
                </c:pt>
                <c:pt idx="3">
                  <c:v>2026-Q4</c:v>
                </c:pt>
                <c:pt idx="4">
                  <c:v>2027-Q1</c:v>
                </c:pt>
                <c:pt idx="5">
                  <c:v>2027-Q2</c:v>
                </c:pt>
                <c:pt idx="6">
                  <c:v>2027-Q3</c:v>
                </c:pt>
                <c:pt idx="7">
                  <c:v>2027-Q4</c:v>
                </c:pt>
                <c:pt idx="8">
                  <c:v>2028-Q1</c:v>
                </c:pt>
                <c:pt idx="9">
                  <c:v>2028-Q2</c:v>
                </c:pt>
                <c:pt idx="10">
                  <c:v>2028-Q3</c:v>
                </c:pt>
                <c:pt idx="11">
                  <c:v>2028-Q4</c:v>
                </c:pt>
              </c:strCache>
            </c:strRef>
          </c:cat>
          <c:val>
            <c:numRef>
              <c:f>roi!$C$2:$C$13</c:f>
              <c:numCache>
                <c:formatCode>General</c:formatCode>
                <c:ptCount val="12"/>
                <c:pt idx="0">
                  <c:v>51</c:v>
                </c:pt>
                <c:pt idx="1">
                  <c:v>71</c:v>
                </c:pt>
                <c:pt idx="2">
                  <c:v>73</c:v>
                </c:pt>
                <c:pt idx="3">
                  <c:v>86</c:v>
                </c:pt>
                <c:pt idx="4">
                  <c:v>70</c:v>
                </c:pt>
                <c:pt idx="5">
                  <c:v>89</c:v>
                </c:pt>
                <c:pt idx="6">
                  <c:v>92</c:v>
                </c:pt>
                <c:pt idx="7">
                  <c:v>93</c:v>
                </c:pt>
                <c:pt idx="8">
                  <c:v>80</c:v>
                </c:pt>
                <c:pt idx="9">
                  <c:v>95</c:v>
                </c:pt>
                <c:pt idx="10">
                  <c:v>100</c:v>
                </c:pt>
                <c:pt idx="11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19-4C4E-A996-A614E5D1C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982720"/>
        <c:axId val="504983440"/>
      </c:lineChart>
      <c:catAx>
        <c:axId val="50498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983440"/>
        <c:crosses val="autoZero"/>
        <c:auto val="1"/>
        <c:lblAlgn val="ctr"/>
        <c:lblOffset val="100"/>
        <c:noMultiLvlLbl val="0"/>
      </c:catAx>
      <c:valAx>
        <c:axId val="504983440"/>
        <c:scaling>
          <c:orientation val="minMax"/>
          <c:max val="18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982720"/>
        <c:crosses val="autoZero"/>
        <c:crossBetween val="between"/>
        <c:majorUnit val="20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sv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133349</xdr:colOff>
      <xdr:row>3</xdr:row>
      <xdr:rowOff>0</xdr:rowOff>
    </xdr:from>
    <xdr:to>
      <xdr:col>16</xdr:col>
      <xdr:colOff>323850</xdr:colOff>
      <xdr:row>29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576D09-1F89-F5BB-4EBF-281ED6ED7F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3</xdr:row>
      <xdr:rowOff>142875</xdr:rowOff>
    </xdr:from>
    <xdr:to>
      <xdr:col>17</xdr:col>
      <xdr:colOff>561974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BF8761-C717-6C69-3A4F-6CCC2329D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104775</xdr:rowOff>
    </xdr:from>
    <xdr:to>
      <xdr:col>4</xdr:col>
      <xdr:colOff>352425</xdr:colOff>
      <xdr:row>4</xdr:row>
      <xdr:rowOff>323850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30F73FD-736F-D033-B062-DFEE63181F3B}"/>
            </a:ext>
          </a:extLst>
        </xdr:cNvPr>
        <xdr:cNvSpPr/>
      </xdr:nvSpPr>
      <xdr:spPr>
        <a:xfrm>
          <a:off x="2181225" y="295275"/>
          <a:ext cx="962025" cy="21907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9525</xdr:colOff>
      <xdr:row>5</xdr:row>
      <xdr:rowOff>142875</xdr:rowOff>
    </xdr:from>
    <xdr:to>
      <xdr:col>5</xdr:col>
      <xdr:colOff>390525</xdr:colOff>
      <xdr:row>5</xdr:row>
      <xdr:rowOff>361950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BB0EFE2-BC02-4E4C-8B83-86CDC0DF5F29}"/>
            </a:ext>
          </a:extLst>
        </xdr:cNvPr>
        <xdr:cNvSpPr/>
      </xdr:nvSpPr>
      <xdr:spPr>
        <a:xfrm>
          <a:off x="2800350" y="809625"/>
          <a:ext cx="990600" cy="219075"/>
        </a:xfrm>
        <a:prstGeom prst="rect">
          <a:avLst/>
        </a:prstGeom>
        <a:solidFill>
          <a:schemeClr val="tx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352425</xdr:colOff>
      <xdr:row>6</xdr:row>
      <xdr:rowOff>171450</xdr:rowOff>
    </xdr:from>
    <xdr:to>
      <xdr:col>6</xdr:col>
      <xdr:colOff>342900</xdr:colOff>
      <xdr:row>6</xdr:row>
      <xdr:rowOff>400050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FFF2777-D7B3-4FF5-A8F0-A00E12694941}"/>
            </a:ext>
          </a:extLst>
        </xdr:cNvPr>
        <xdr:cNvSpPr/>
      </xdr:nvSpPr>
      <xdr:spPr>
        <a:xfrm>
          <a:off x="3143250" y="1419225"/>
          <a:ext cx="1209675" cy="228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266700</xdr:colOff>
      <xdr:row>7</xdr:row>
      <xdr:rowOff>171449</xdr:rowOff>
    </xdr:from>
    <xdr:to>
      <xdr:col>7</xdr:col>
      <xdr:colOff>390525</xdr:colOff>
      <xdr:row>7</xdr:row>
      <xdr:rowOff>409574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9E5CC007-BA4E-4D7D-89E0-2DE45D0A5C49}"/>
            </a:ext>
          </a:extLst>
        </xdr:cNvPr>
        <xdr:cNvSpPr/>
      </xdr:nvSpPr>
      <xdr:spPr>
        <a:xfrm>
          <a:off x="3190875" y="2000249"/>
          <a:ext cx="2295525" cy="238125"/>
        </a:xfrm>
        <a:prstGeom prst="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381000</xdr:colOff>
      <xdr:row>8</xdr:row>
      <xdr:rowOff>180976</xdr:rowOff>
    </xdr:from>
    <xdr:to>
      <xdr:col>7</xdr:col>
      <xdr:colOff>666750</xdr:colOff>
      <xdr:row>8</xdr:row>
      <xdr:rowOff>390526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56BAB45-2D3C-4260-9932-0867DCDF30BF}"/>
            </a:ext>
          </a:extLst>
        </xdr:cNvPr>
        <xdr:cNvSpPr/>
      </xdr:nvSpPr>
      <xdr:spPr>
        <a:xfrm>
          <a:off x="4038600" y="2581276"/>
          <a:ext cx="1724025" cy="209550"/>
        </a:xfrm>
        <a:prstGeom prst="rect">
          <a:avLst/>
        </a:prstGeom>
        <a:solidFill>
          <a:schemeClr val="tx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485775</xdr:colOff>
      <xdr:row>9</xdr:row>
      <xdr:rowOff>171450</xdr:rowOff>
    </xdr:from>
    <xdr:to>
      <xdr:col>8</xdr:col>
      <xdr:colOff>790575</xdr:colOff>
      <xdr:row>9</xdr:row>
      <xdr:rowOff>390525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FD37C20-546A-4E40-90AC-1BCDC0398225}"/>
            </a:ext>
          </a:extLst>
        </xdr:cNvPr>
        <xdr:cNvSpPr/>
      </xdr:nvSpPr>
      <xdr:spPr>
        <a:xfrm>
          <a:off x="4867275" y="3152775"/>
          <a:ext cx="1771650" cy="219075"/>
        </a:xfrm>
        <a:prstGeom prst="rect">
          <a:avLst/>
        </a:prstGeom>
        <a:solidFill>
          <a:schemeClr val="accent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276225</xdr:colOff>
      <xdr:row>5</xdr:row>
      <xdr:rowOff>219075</xdr:rowOff>
    </xdr:from>
    <xdr:to>
      <xdr:col>6</xdr:col>
      <xdr:colOff>104775</xdr:colOff>
      <xdr:row>6</xdr:row>
      <xdr:rowOff>190500</xdr:rowOff>
    </xdr:to>
    <xdr:pic>
      <xdr:nvPicPr>
        <xdr:cNvPr id="14" name="Graphic 13" descr="Arrow: Clockwise curve outline">
          <a:extLst>
            <a:ext uri="{FF2B5EF4-FFF2-40B4-BE49-F238E27FC236}">
              <a16:creationId xmlns:a16="http://schemas.microsoft.com/office/drawing/2014/main" id="{C2B083A3-022E-4EBA-9EF2-077B9D4D8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3933825" y="885825"/>
          <a:ext cx="552450" cy="5524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228600</xdr:colOff>
      <xdr:row>6</xdr:row>
      <xdr:rowOff>200025</xdr:rowOff>
    </xdr:from>
    <xdr:to>
      <xdr:col>7</xdr:col>
      <xdr:colOff>66675</xdr:colOff>
      <xdr:row>7</xdr:row>
      <xdr:rowOff>171450</xdr:rowOff>
    </xdr:to>
    <xdr:pic>
      <xdr:nvPicPr>
        <xdr:cNvPr id="15" name="Graphic 14" descr="Arrow: Clockwise curve outline">
          <a:extLst>
            <a:ext uri="{FF2B5EF4-FFF2-40B4-BE49-F238E27FC236}">
              <a16:creationId xmlns:a16="http://schemas.microsoft.com/office/drawing/2014/main" id="{94E12C18-F61F-4FF3-BD67-9FB30D57C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4610100" y="1447800"/>
          <a:ext cx="552450" cy="552450"/>
        </a:xfrm>
        <a:prstGeom prst="rect">
          <a:avLst/>
        </a:prstGeom>
      </xdr:spPr>
    </xdr:pic>
    <xdr:clientData/>
  </xdr:twoCellAnchor>
  <xdr:twoCellAnchor editAs="oneCell">
    <xdr:from>
      <xdr:col>7</xdr:col>
      <xdr:colOff>266700</xdr:colOff>
      <xdr:row>7</xdr:row>
      <xdr:rowOff>209550</xdr:rowOff>
    </xdr:from>
    <xdr:to>
      <xdr:col>8</xdr:col>
      <xdr:colOff>66675</xdr:colOff>
      <xdr:row>8</xdr:row>
      <xdr:rowOff>190500</xdr:rowOff>
    </xdr:to>
    <xdr:pic>
      <xdr:nvPicPr>
        <xdr:cNvPr id="16" name="Graphic 15" descr="Arrow: Clockwise curve outline">
          <a:extLst>
            <a:ext uri="{FF2B5EF4-FFF2-40B4-BE49-F238E27FC236}">
              <a16:creationId xmlns:a16="http://schemas.microsoft.com/office/drawing/2014/main" id="{4D4E5FA4-415D-431B-8E2C-60F998C77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5362575" y="2038350"/>
          <a:ext cx="552450" cy="552450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8</xdr:row>
      <xdr:rowOff>219075</xdr:rowOff>
    </xdr:from>
    <xdr:to>
      <xdr:col>8</xdr:col>
      <xdr:colOff>361950</xdr:colOff>
      <xdr:row>9</xdr:row>
      <xdr:rowOff>190500</xdr:rowOff>
    </xdr:to>
    <xdr:pic>
      <xdr:nvPicPr>
        <xdr:cNvPr id="17" name="Graphic 16" descr="Arrow: Clockwise curve outline">
          <a:extLst>
            <a:ext uri="{FF2B5EF4-FFF2-40B4-BE49-F238E27FC236}">
              <a16:creationId xmlns:a16="http://schemas.microsoft.com/office/drawing/2014/main" id="{EB069704-6C15-4627-B990-46F5066F3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5657850" y="2619375"/>
          <a:ext cx="552450" cy="552450"/>
        </a:xfrm>
        <a:prstGeom prst="rect">
          <a:avLst/>
        </a:prstGeom>
      </xdr:spPr>
    </xdr:pic>
    <xdr:clientData/>
  </xdr:twoCellAnchor>
  <xdr:twoCellAnchor editAs="oneCell">
    <xdr:from>
      <xdr:col>4</xdr:col>
      <xdr:colOff>238125</xdr:colOff>
      <xdr:row>4</xdr:row>
      <xdr:rowOff>85725</xdr:rowOff>
    </xdr:from>
    <xdr:to>
      <xdr:col>5</xdr:col>
      <xdr:colOff>57150</xdr:colOff>
      <xdr:row>5</xdr:row>
      <xdr:rowOff>161925</xdr:rowOff>
    </xdr:to>
    <xdr:pic>
      <xdr:nvPicPr>
        <xdr:cNvPr id="7" name="Graphic 6" descr="Arrow: Clockwise curve outline">
          <a:extLst>
            <a:ext uri="{FF2B5EF4-FFF2-40B4-BE49-F238E27FC236}">
              <a16:creationId xmlns:a16="http://schemas.microsoft.com/office/drawing/2014/main" id="{762814F9-1B16-033B-1862-82C8964AA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3162300" y="276225"/>
          <a:ext cx="552450" cy="55245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13670-4240-4674-8EF5-150D8A1F9C5B}">
  <dimension ref="B2:H10"/>
  <sheetViews>
    <sheetView showGridLines="0" tabSelected="1" zoomScaleNormal="100" workbookViewId="0">
      <selection activeCell="G13" sqref="G13"/>
    </sheetView>
  </sheetViews>
  <sheetFormatPr defaultRowHeight="15" x14ac:dyDescent="0.25"/>
  <cols>
    <col min="2" max="2" width="7.42578125" customWidth="1"/>
    <col min="3" max="3" width="17.28515625" customWidth="1"/>
    <col min="4" max="4" width="11.5703125" customWidth="1"/>
    <col min="5" max="5" width="31.28515625" customWidth="1"/>
    <col min="6" max="6" width="29.28515625" customWidth="1"/>
    <col min="7" max="7" width="9.140625" bestFit="1" customWidth="1"/>
    <col min="8" max="8" width="36.85546875" customWidth="1"/>
  </cols>
  <sheetData>
    <row r="2" spans="2:8" x14ac:dyDescent="0.25">
      <c r="B2" s="4" t="s">
        <v>33</v>
      </c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</row>
    <row r="3" spans="2:8" ht="48" customHeight="1" x14ac:dyDescent="0.25">
      <c r="B3" s="1">
        <v>1</v>
      </c>
      <c r="C3" s="1" t="s">
        <v>6</v>
      </c>
      <c r="D3" s="1" t="s">
        <v>7</v>
      </c>
      <c r="E3" s="1" t="s">
        <v>9</v>
      </c>
      <c r="F3" s="1" t="s">
        <v>8</v>
      </c>
      <c r="G3" s="1">
        <v>8</v>
      </c>
      <c r="H3" s="1" t="s">
        <v>71</v>
      </c>
    </row>
    <row r="4" spans="2:8" ht="45" x14ac:dyDescent="0.25">
      <c r="B4" s="2">
        <v>2</v>
      </c>
      <c r="C4" s="2" t="s">
        <v>10</v>
      </c>
      <c r="D4" s="2" t="s">
        <v>7</v>
      </c>
      <c r="E4" s="2" t="s">
        <v>11</v>
      </c>
      <c r="F4" s="2" t="s">
        <v>12</v>
      </c>
      <c r="G4" s="2">
        <v>13</v>
      </c>
      <c r="H4" s="3" t="s">
        <v>20</v>
      </c>
    </row>
    <row r="5" spans="2:8" ht="45" x14ac:dyDescent="0.25">
      <c r="B5" s="1">
        <v>3</v>
      </c>
      <c r="C5" s="1" t="s">
        <v>13</v>
      </c>
      <c r="D5" s="1" t="s">
        <v>7</v>
      </c>
      <c r="E5" s="1" t="s">
        <v>14</v>
      </c>
      <c r="F5" s="1" t="s">
        <v>15</v>
      </c>
      <c r="G5" s="1">
        <v>8</v>
      </c>
      <c r="H5" s="1" t="s">
        <v>22</v>
      </c>
    </row>
    <row r="6" spans="2:8" ht="30" x14ac:dyDescent="0.25">
      <c r="B6" s="2">
        <v>4</v>
      </c>
      <c r="C6" s="2" t="s">
        <v>16</v>
      </c>
      <c r="D6" s="2" t="s">
        <v>7</v>
      </c>
      <c r="E6" s="2" t="s">
        <v>17</v>
      </c>
      <c r="F6" s="2" t="s">
        <v>18</v>
      </c>
      <c r="G6" s="2">
        <v>13</v>
      </c>
      <c r="H6" s="2" t="s">
        <v>72</v>
      </c>
    </row>
    <row r="7" spans="2:8" ht="60" x14ac:dyDescent="0.25">
      <c r="B7" s="1">
        <v>5</v>
      </c>
      <c r="C7" s="1" t="s">
        <v>24</v>
      </c>
      <c r="D7" s="1" t="s">
        <v>7</v>
      </c>
      <c r="E7" s="1" t="s">
        <v>25</v>
      </c>
      <c r="F7" s="1" t="s">
        <v>26</v>
      </c>
      <c r="G7" s="1">
        <v>13</v>
      </c>
      <c r="H7" s="1" t="s">
        <v>76</v>
      </c>
    </row>
    <row r="8" spans="2:8" ht="45" x14ac:dyDescent="0.25">
      <c r="B8" s="2">
        <v>6</v>
      </c>
      <c r="C8" s="2" t="s">
        <v>27</v>
      </c>
      <c r="D8" s="2" t="s">
        <v>7</v>
      </c>
      <c r="E8" s="2" t="s">
        <v>28</v>
      </c>
      <c r="F8" s="2" t="s">
        <v>29</v>
      </c>
      <c r="G8" s="2">
        <v>8</v>
      </c>
      <c r="H8" s="2" t="s">
        <v>73</v>
      </c>
    </row>
    <row r="9" spans="2:8" ht="45" x14ac:dyDescent="0.25">
      <c r="B9" s="1">
        <v>7</v>
      </c>
      <c r="C9" s="1" t="s">
        <v>19</v>
      </c>
      <c r="D9" s="1" t="s">
        <v>7</v>
      </c>
      <c r="E9" s="1" t="s">
        <v>21</v>
      </c>
      <c r="F9" s="1" t="s">
        <v>23</v>
      </c>
      <c r="G9" s="1">
        <v>8</v>
      </c>
      <c r="H9" s="1" t="s">
        <v>75</v>
      </c>
    </row>
    <row r="10" spans="2:8" ht="45" x14ac:dyDescent="0.25">
      <c r="B10" s="2">
        <v>8</v>
      </c>
      <c r="C10" s="2" t="s">
        <v>30</v>
      </c>
      <c r="D10" s="2" t="s">
        <v>7</v>
      </c>
      <c r="E10" s="2" t="s">
        <v>31</v>
      </c>
      <c r="F10" s="2" t="s">
        <v>32</v>
      </c>
      <c r="G10" s="2">
        <v>5</v>
      </c>
      <c r="H10" s="2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8724E-6B7F-47E6-ACFB-6B7A6C125CFC}">
  <dimension ref="A1:C9"/>
  <sheetViews>
    <sheetView showGridLines="0" zoomScaleNormal="100" workbookViewId="0">
      <selection activeCell="B29" sqref="B29"/>
    </sheetView>
  </sheetViews>
  <sheetFormatPr defaultRowHeight="15" x14ac:dyDescent="0.25"/>
  <cols>
    <col min="1" max="1" width="17.28515625" bestFit="1" customWidth="1"/>
    <col min="2" max="2" width="17.28515625" customWidth="1"/>
  </cols>
  <sheetData>
    <row r="1" spans="1:3" x14ac:dyDescent="0.25">
      <c r="A1" t="s">
        <v>62</v>
      </c>
      <c r="B1" t="s">
        <v>63</v>
      </c>
      <c r="C1" t="s">
        <v>63</v>
      </c>
    </row>
    <row r="2" spans="1:3" x14ac:dyDescent="0.25">
      <c r="A2" t="s">
        <v>64</v>
      </c>
      <c r="B2" s="10">
        <f t="shared" ref="B2:B8" si="0">C2/C$9</f>
        <v>0.26070763500931099</v>
      </c>
      <c r="C2">
        <v>140</v>
      </c>
    </row>
    <row r="3" spans="1:3" x14ac:dyDescent="0.25">
      <c r="A3" t="s">
        <v>65</v>
      </c>
      <c r="B3" s="10">
        <f t="shared" si="0"/>
        <v>7.4487895716946001E-2</v>
      </c>
      <c r="C3">
        <v>40</v>
      </c>
    </row>
    <row r="4" spans="1:3" x14ac:dyDescent="0.25">
      <c r="A4" t="s">
        <v>66</v>
      </c>
      <c r="B4" s="10">
        <f t="shared" si="0"/>
        <v>5.5865921787709494E-2</v>
      </c>
      <c r="C4">
        <v>30</v>
      </c>
    </row>
    <row r="5" spans="1:3" x14ac:dyDescent="0.25">
      <c r="A5" t="s">
        <v>67</v>
      </c>
      <c r="B5" s="10">
        <f t="shared" si="0"/>
        <v>3.7243947858473E-2</v>
      </c>
      <c r="C5">
        <v>20</v>
      </c>
    </row>
    <row r="6" spans="1:3" x14ac:dyDescent="0.25">
      <c r="A6" t="s">
        <v>68</v>
      </c>
      <c r="B6" s="10">
        <f t="shared" si="0"/>
        <v>3.165735567970205E-2</v>
      </c>
      <c r="C6">
        <v>17</v>
      </c>
    </row>
    <row r="7" spans="1:3" x14ac:dyDescent="0.25">
      <c r="A7" t="s">
        <v>69</v>
      </c>
      <c r="B7" s="10">
        <f t="shared" si="0"/>
        <v>0.46554934823091249</v>
      </c>
      <c r="C7">
        <v>250</v>
      </c>
    </row>
    <row r="8" spans="1:3" x14ac:dyDescent="0.25">
      <c r="A8" t="s">
        <v>70</v>
      </c>
      <c r="B8" s="10">
        <f t="shared" si="0"/>
        <v>7.4487895716946001E-2</v>
      </c>
      <c r="C8">
        <v>40</v>
      </c>
    </row>
    <row r="9" spans="1:3" x14ac:dyDescent="0.25">
      <c r="C9">
        <f>SUM(C2:C8)</f>
        <v>537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BA80-466F-4C80-A814-4F8C64340B33}">
  <dimension ref="A1:E13"/>
  <sheetViews>
    <sheetView showGridLines="0" zoomScaleNormal="100" workbookViewId="0">
      <selection activeCell="X8" sqref="X8"/>
    </sheetView>
  </sheetViews>
  <sheetFormatPr defaultRowHeight="15" x14ac:dyDescent="0.25"/>
  <sheetData>
    <row r="1" spans="1:5" x14ac:dyDescent="0.25">
      <c r="A1" t="s">
        <v>34</v>
      </c>
      <c r="B1" t="s">
        <v>47</v>
      </c>
      <c r="C1" t="s">
        <v>48</v>
      </c>
    </row>
    <row r="2" spans="1:5" x14ac:dyDescent="0.25">
      <c r="A2" t="s">
        <v>35</v>
      </c>
      <c r="B2">
        <v>99</v>
      </c>
      <c r="C2">
        <v>51</v>
      </c>
    </row>
    <row r="3" spans="1:5" x14ac:dyDescent="0.25">
      <c r="A3" t="s">
        <v>36</v>
      </c>
      <c r="B3">
        <v>124</v>
      </c>
      <c r="C3">
        <v>71</v>
      </c>
    </row>
    <row r="4" spans="1:5" x14ac:dyDescent="0.25">
      <c r="A4" t="s">
        <v>37</v>
      </c>
      <c r="B4">
        <v>129</v>
      </c>
      <c r="C4">
        <v>73</v>
      </c>
      <c r="E4">
        <f>SUM(C2:C5)</f>
        <v>281</v>
      </c>
    </row>
    <row r="5" spans="1:5" x14ac:dyDescent="0.25">
      <c r="A5" t="s">
        <v>38</v>
      </c>
      <c r="B5">
        <v>130</v>
      </c>
      <c r="C5">
        <v>86</v>
      </c>
      <c r="E5">
        <f>SUM(C6:C9)</f>
        <v>344</v>
      </c>
    </row>
    <row r="6" spans="1:5" x14ac:dyDescent="0.25">
      <c r="A6" t="s">
        <v>39</v>
      </c>
      <c r="B6">
        <v>105</v>
      </c>
      <c r="C6">
        <v>70</v>
      </c>
      <c r="E6">
        <f>SUM(C10:C13)</f>
        <v>389</v>
      </c>
    </row>
    <row r="7" spans="1:5" x14ac:dyDescent="0.25">
      <c r="A7" t="s">
        <v>40</v>
      </c>
      <c r="B7">
        <v>134</v>
      </c>
      <c r="C7">
        <v>89</v>
      </c>
    </row>
    <row r="8" spans="1:5" x14ac:dyDescent="0.25">
      <c r="A8" t="s">
        <v>41</v>
      </c>
      <c r="B8">
        <v>142</v>
      </c>
      <c r="C8">
        <v>92</v>
      </c>
    </row>
    <row r="9" spans="1:5" x14ac:dyDescent="0.25">
      <c r="A9" t="s">
        <v>42</v>
      </c>
      <c r="B9">
        <v>153</v>
      </c>
      <c r="C9">
        <v>93</v>
      </c>
    </row>
    <row r="10" spans="1:5" x14ac:dyDescent="0.25">
      <c r="A10" t="s">
        <v>43</v>
      </c>
      <c r="B10">
        <v>126</v>
      </c>
      <c r="C10">
        <v>80</v>
      </c>
    </row>
    <row r="11" spans="1:5" x14ac:dyDescent="0.25">
      <c r="A11" t="s">
        <v>44</v>
      </c>
      <c r="B11">
        <v>144</v>
      </c>
      <c r="C11">
        <v>95</v>
      </c>
    </row>
    <row r="12" spans="1:5" x14ac:dyDescent="0.25">
      <c r="A12" t="s">
        <v>45</v>
      </c>
      <c r="B12">
        <v>153</v>
      </c>
      <c r="C12">
        <v>100</v>
      </c>
    </row>
    <row r="13" spans="1:5" x14ac:dyDescent="0.25">
      <c r="A13" t="s">
        <v>46</v>
      </c>
      <c r="B13">
        <v>173</v>
      </c>
      <c r="C13">
        <v>114</v>
      </c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1EAB-96DA-44A1-8831-E4F21B6A52C7}">
  <dimension ref="B2:J12"/>
  <sheetViews>
    <sheetView showGridLines="0" workbookViewId="0">
      <selection activeCell="H16" sqref="H16"/>
    </sheetView>
  </sheetViews>
  <sheetFormatPr defaultRowHeight="15" x14ac:dyDescent="0.25"/>
  <cols>
    <col min="2" max="2" width="11.7109375" customWidth="1"/>
    <col min="3" max="3" width="21" customWidth="1"/>
    <col min="4" max="4" width="11.140625" customWidth="1"/>
    <col min="5" max="5" width="11" customWidth="1"/>
    <col min="6" max="6" width="10.85546875" customWidth="1"/>
    <col min="7" max="7" width="10.7109375" customWidth="1"/>
    <col min="8" max="8" width="11.28515625" customWidth="1"/>
    <col min="9" max="9" width="13.42578125" customWidth="1"/>
    <col min="10" max="10" width="40.5703125" customWidth="1"/>
  </cols>
  <sheetData>
    <row r="2" spans="2:10" x14ac:dyDescent="0.25">
      <c r="B2" s="14" t="s">
        <v>61</v>
      </c>
      <c r="C2" s="14"/>
      <c r="D2" s="14"/>
      <c r="E2" s="14"/>
      <c r="F2" s="14"/>
      <c r="G2" s="14"/>
      <c r="H2" s="14"/>
      <c r="I2" s="14"/>
    </row>
    <row r="4" spans="2:10" x14ac:dyDescent="0.25">
      <c r="D4" s="9" t="s">
        <v>55</v>
      </c>
      <c r="E4" s="9" t="s">
        <v>56</v>
      </c>
      <c r="F4" s="9" t="s">
        <v>57</v>
      </c>
      <c r="G4" s="9" t="s">
        <v>58</v>
      </c>
      <c r="H4" s="9" t="s">
        <v>59</v>
      </c>
      <c r="I4" s="9" t="s">
        <v>60</v>
      </c>
    </row>
    <row r="5" spans="2:10" ht="37.5" customHeight="1" x14ac:dyDescent="0.25">
      <c r="B5" s="6" t="e" vm="1">
        <v>#VALUE!</v>
      </c>
      <c r="C5" s="8" t="s">
        <v>49</v>
      </c>
      <c r="D5" s="5"/>
      <c r="E5" s="5"/>
      <c r="F5" s="5"/>
      <c r="G5" s="5"/>
      <c r="H5" s="5"/>
      <c r="I5" s="5"/>
      <c r="J5" s="15"/>
    </row>
    <row r="6" spans="2:10" ht="45.75" customHeight="1" x14ac:dyDescent="0.25">
      <c r="B6" s="7" t="e" vm="2">
        <v>#VALUE!</v>
      </c>
      <c r="C6" s="8" t="s">
        <v>50</v>
      </c>
      <c r="D6" s="5"/>
      <c r="E6" s="5"/>
      <c r="F6" s="5"/>
      <c r="G6" s="5"/>
      <c r="H6" s="5"/>
      <c r="I6" s="5"/>
      <c r="J6" s="15"/>
    </row>
    <row r="7" spans="2:10" ht="45.75" customHeight="1" x14ac:dyDescent="0.25">
      <c r="B7" s="7" t="e" vm="3">
        <v>#VALUE!</v>
      </c>
      <c r="C7" s="8" t="s">
        <v>51</v>
      </c>
      <c r="D7" s="5"/>
      <c r="E7" s="5"/>
      <c r="F7" s="5"/>
      <c r="G7" s="5"/>
      <c r="H7" s="5"/>
      <c r="I7" s="5"/>
      <c r="J7" s="15"/>
    </row>
    <row r="8" spans="2:10" ht="45" customHeight="1" x14ac:dyDescent="0.25">
      <c r="B8" s="7" t="e" vm="4">
        <v>#VALUE!</v>
      </c>
      <c r="C8" s="8" t="s">
        <v>52</v>
      </c>
      <c r="D8" s="5"/>
      <c r="E8" s="5"/>
      <c r="F8" s="5"/>
      <c r="G8" s="5"/>
      <c r="H8" s="5"/>
      <c r="I8" s="5"/>
      <c r="J8" s="15"/>
    </row>
    <row r="9" spans="2:10" ht="45.75" customHeight="1" x14ac:dyDescent="0.25">
      <c r="B9" s="7" t="e" vm="5">
        <v>#VALUE!</v>
      </c>
      <c r="C9" s="8" t="s">
        <v>53</v>
      </c>
      <c r="D9" s="5"/>
      <c r="E9" s="5"/>
      <c r="F9" s="5"/>
      <c r="G9" s="5"/>
      <c r="H9" s="5"/>
      <c r="I9" s="5"/>
      <c r="J9" s="15"/>
    </row>
    <row r="10" spans="2:10" ht="45" customHeight="1" x14ac:dyDescent="0.25">
      <c r="B10" s="7" t="e" vm="6">
        <v>#VALUE!</v>
      </c>
      <c r="C10" s="8" t="s">
        <v>54</v>
      </c>
      <c r="D10" s="5"/>
      <c r="E10" s="5"/>
      <c r="F10" s="5"/>
      <c r="G10" s="5"/>
      <c r="H10" s="5"/>
      <c r="I10" s="5"/>
      <c r="J10" s="15"/>
    </row>
    <row r="12" spans="2:10" ht="31.5" customHeight="1" x14ac:dyDescent="0.25">
      <c r="D12" s="11" t="e" vm="7">
        <v>#VALUE!</v>
      </c>
      <c r="E12" s="12"/>
      <c r="F12" s="12"/>
      <c r="G12" s="12"/>
      <c r="H12" s="13"/>
    </row>
  </sheetData>
  <mergeCells count="2">
    <mergeCell ref="D12:H12"/>
    <mergeCell ref="B2:I2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backlog</vt:lpstr>
      <vt:lpstr>budget</vt:lpstr>
      <vt:lpstr>roi</vt:lpstr>
      <vt:lpstr>milestones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Ok</dc:creator>
  <cp:lastModifiedBy>Phil Ok</cp:lastModifiedBy>
  <dcterms:created xsi:type="dcterms:W3CDTF">2026-01-08T16:31:30Z</dcterms:created>
  <dcterms:modified xsi:type="dcterms:W3CDTF">2026-01-16T00:23:44Z</dcterms:modified>
</cp:coreProperties>
</file>